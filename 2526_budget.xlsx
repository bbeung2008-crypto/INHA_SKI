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a95d2fa12d1a74/Desktop/"/>
    </mc:Choice>
  </mc:AlternateContent>
  <xr:revisionPtr revIDLastSave="0" documentId="8_{45786E7C-94D3-42FA-9A45-88004BF3EAEB}" xr6:coauthVersionLast="47" xr6:coauthVersionMax="47" xr10:uidLastSave="{00000000-0000-0000-0000-000000000000}"/>
  <bookViews>
    <workbookView xWindow="-108" yWindow="-108" windowWidth="23256" windowHeight="13896" xr2:uid="{6F27E45D-0D3E-480C-BB78-5FF305224E5D}"/>
  </bookViews>
  <sheets>
    <sheet name="전체 예산안" sheetId="1" r:id="rId1"/>
    <sheet name="세부예산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H19" i="1"/>
  <c r="F19" i="1"/>
  <c r="D15" i="2"/>
  <c r="D52" i="2"/>
  <c r="D46" i="2"/>
  <c r="D40" i="2"/>
  <c r="D34" i="2"/>
  <c r="D22" i="2"/>
  <c r="D28" i="2"/>
  <c r="C4" i="1"/>
  <c r="F22" i="1" l="1"/>
  <c r="D53" i="2"/>
</calcChain>
</file>

<file path=xl/sharedStrings.xml><?xml version="1.0" encoding="utf-8"?>
<sst xmlns="http://schemas.openxmlformats.org/spreadsheetml/2006/main" count="125" uniqueCount="62">
  <si>
    <t>25/26시즌 예산안</t>
    <phoneticPr fontId="2" type="noConversion"/>
  </si>
  <si>
    <t>총예산</t>
    <phoneticPr fontId="2" type="noConversion"/>
  </si>
  <si>
    <t>지원금</t>
    <phoneticPr fontId="2" type="noConversion"/>
  </si>
  <si>
    <t>강민혁레이싱스쿨</t>
    <phoneticPr fontId="2" type="noConversion"/>
  </si>
  <si>
    <t>회비</t>
    <phoneticPr fontId="2" type="noConversion"/>
  </si>
  <si>
    <t>방값</t>
    <phoneticPr fontId="2" type="noConversion"/>
  </si>
  <si>
    <t>1주차식비</t>
    <phoneticPr fontId="2" type="noConversion"/>
  </si>
  <si>
    <t>2주차식비</t>
    <phoneticPr fontId="2" type="noConversion"/>
  </si>
  <si>
    <t>3주차식비</t>
    <phoneticPr fontId="2" type="noConversion"/>
  </si>
  <si>
    <t>4주차식비</t>
    <phoneticPr fontId="2" type="noConversion"/>
  </si>
  <si>
    <t>5주차식비</t>
    <phoneticPr fontId="2" type="noConversion"/>
  </si>
  <si>
    <t>6주차식비</t>
    <phoneticPr fontId="2" type="noConversion"/>
  </si>
  <si>
    <t>OB반팔</t>
    <phoneticPr fontId="2" type="noConversion"/>
  </si>
  <si>
    <t>유류비</t>
    <phoneticPr fontId="2" type="noConversion"/>
  </si>
  <si>
    <t>인하대와펜제작</t>
    <phoneticPr fontId="2" type="noConversion"/>
  </si>
  <si>
    <t>회비처리</t>
    <phoneticPr fontId="2" type="noConversion"/>
  </si>
  <si>
    <t>이월금액</t>
    <phoneticPr fontId="2" type="noConversion"/>
  </si>
  <si>
    <t>구분</t>
    <phoneticPr fontId="2" type="noConversion"/>
  </si>
  <si>
    <t>금액</t>
    <phoneticPr fontId="2" type="noConversion"/>
  </si>
  <si>
    <t>비고</t>
    <phoneticPr fontId="2" type="noConversion"/>
  </si>
  <si>
    <t>강민혁 레이싱스쿨</t>
    <phoneticPr fontId="2" type="noConversion"/>
  </si>
  <si>
    <t>식자재</t>
    <phoneticPr fontId="2" type="noConversion"/>
  </si>
  <si>
    <t>음료수</t>
    <phoneticPr fontId="2" type="noConversion"/>
  </si>
  <si>
    <t>주류</t>
    <phoneticPr fontId="2" type="noConversion"/>
  </si>
  <si>
    <t>합계</t>
    <phoneticPr fontId="2" type="noConversion"/>
  </si>
  <si>
    <t>핫팩</t>
    <phoneticPr fontId="2" type="noConversion"/>
  </si>
  <si>
    <t>시즌 중 9회</t>
    <phoneticPr fontId="2" type="noConversion"/>
  </si>
  <si>
    <t>생수</t>
    <phoneticPr fontId="2" type="noConversion"/>
  </si>
  <si>
    <t>평창수 2L 6개입(4)</t>
    <phoneticPr fontId="2" type="noConversion"/>
  </si>
  <si>
    <t>테라 6개입(3) 참이슬 640ml 20개(4)</t>
    <phoneticPr fontId="2" type="noConversion"/>
  </si>
  <si>
    <t>탄산(5), 주스(5)</t>
    <phoneticPr fontId="2" type="noConversion"/>
  </si>
  <si>
    <t>스키 정비용품</t>
    <phoneticPr fontId="2" type="noConversion"/>
  </si>
  <si>
    <t>물왁스(2), 고체왁스(2)</t>
    <phoneticPr fontId="2" type="noConversion"/>
  </si>
  <si>
    <t>조미료</t>
    <phoneticPr fontId="2" type="noConversion"/>
  </si>
  <si>
    <t>인하대 스키부 반팔티</t>
    <phoneticPr fontId="2" type="noConversion"/>
  </si>
  <si>
    <t>티셔츠(20)</t>
    <phoneticPr fontId="2" type="noConversion"/>
  </si>
  <si>
    <t>인하대 와펜</t>
    <phoneticPr fontId="2" type="noConversion"/>
  </si>
  <si>
    <t>와펜(12)</t>
    <phoneticPr fontId="2" type="noConversion"/>
  </si>
  <si>
    <t>야채, 고기, 계란</t>
    <phoneticPr fontId="2" type="noConversion"/>
  </si>
  <si>
    <t>진간장, 국간장, 고추장, 소금, 설탕, 맛술, 참기름 등</t>
    <phoneticPr fontId="2" type="noConversion"/>
  </si>
  <si>
    <t>침구류</t>
    <phoneticPr fontId="2" type="noConversion"/>
  </si>
  <si>
    <t>세면용품</t>
    <phoneticPr fontId="2" type="noConversion"/>
  </si>
  <si>
    <t>샴푸(2) 바디워시(2)</t>
    <phoneticPr fontId="2" type="noConversion"/>
  </si>
  <si>
    <t>시즌방</t>
    <phoneticPr fontId="2" type="noConversion"/>
  </si>
  <si>
    <t>평일방</t>
    <phoneticPr fontId="2" type="noConversion"/>
  </si>
  <si>
    <t>1주차 합숙</t>
    <phoneticPr fontId="2" type="noConversion"/>
  </si>
  <si>
    <t>2주차 합숙</t>
    <phoneticPr fontId="2" type="noConversion"/>
  </si>
  <si>
    <t>3주차 합숙</t>
    <phoneticPr fontId="2" type="noConversion"/>
  </si>
  <si>
    <t>합숙 준비</t>
    <phoneticPr fontId="2" type="noConversion"/>
  </si>
  <si>
    <t>4주차 합숙</t>
    <phoneticPr fontId="2" type="noConversion"/>
  </si>
  <si>
    <t>5주차 합숙</t>
    <phoneticPr fontId="2" type="noConversion"/>
  </si>
  <si>
    <t>6주차 합숙</t>
    <phoneticPr fontId="2" type="noConversion"/>
  </si>
  <si>
    <t>총합</t>
    <phoneticPr fontId="2" type="noConversion"/>
  </si>
  <si>
    <t>훈련시 사용(100)</t>
    <phoneticPr fontId="2" type="noConversion"/>
  </si>
  <si>
    <t>세부 예산안</t>
    <phoneticPr fontId="2" type="noConversion"/>
  </si>
  <si>
    <t>28평(39박)</t>
    <phoneticPr fontId="2" type="noConversion"/>
  </si>
  <si>
    <t>41평(27박)</t>
    <phoneticPr fontId="2" type="noConversion"/>
  </si>
  <si>
    <t>토퍼(1) 이불(1)</t>
    <phoneticPr fontId="2" type="noConversion"/>
  </si>
  <si>
    <t>정비용품</t>
    <phoneticPr fontId="2" type="noConversion"/>
  </si>
  <si>
    <t>-</t>
    <phoneticPr fontId="2" type="noConversion"/>
  </si>
  <si>
    <t>개인 정산</t>
    <phoneticPr fontId="2" type="noConversion"/>
  </si>
  <si>
    <t>(정산완료)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</si>
</sst>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&quot;₩&quot;\ #,##0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 style="thick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2" fontId="0" fillId="0" borderId="0" xfId="1" applyFont="1">
      <alignment vertical="center"/>
    </xf>
    <xf numFmtId="42" fontId="0" fillId="0" borderId="0" xfId="0" applyNumberFormat="1">
      <alignment vertical="center"/>
    </xf>
    <xf numFmtId="0" fontId="0" fillId="0" borderId="7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 applyAlignment="1">
      <alignment horizontal="left" vertical="center"/>
    </xf>
    <xf numFmtId="0" fontId="0" fillId="2" borderId="2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2" fontId="0" fillId="5" borderId="1" xfId="0" applyNumberFormat="1" applyFill="1" applyBorder="1" applyAlignment="1">
      <alignment horizontal="center" vertical="center"/>
    </xf>
    <xf numFmtId="42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6" fontId="0" fillId="2" borderId="23" xfId="0" applyNumberFormat="1" applyFill="1" applyBorder="1" applyAlignment="1">
      <alignment horizontal="right" vertical="center"/>
    </xf>
    <xf numFmtId="176" fontId="0" fillId="2" borderId="24" xfId="0" applyNumberFormat="1" applyFill="1" applyBorder="1" applyAlignment="1">
      <alignment horizontal="right" vertical="center"/>
    </xf>
    <xf numFmtId="176" fontId="0" fillId="3" borderId="4" xfId="0" applyNumberFormat="1" applyFill="1" applyBorder="1" applyAlignment="1">
      <alignment horizontal="right" vertical="center"/>
    </xf>
    <xf numFmtId="176" fontId="0" fillId="3" borderId="5" xfId="0" applyNumberFormat="1" applyFill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5016-DFAE-4142-9355-12B02982ABE6}">
  <dimension ref="A1:I22"/>
  <sheetViews>
    <sheetView tabSelected="1" workbookViewId="0">
      <selection activeCell="I5" sqref="I5"/>
    </sheetView>
  </sheetViews>
  <sheetFormatPr defaultRowHeight="17.399999999999999" x14ac:dyDescent="0.4"/>
  <cols>
    <col min="3" max="3" width="9.3984375" bestFit="1" customWidth="1"/>
    <col min="5" max="5" width="19" customWidth="1"/>
    <col min="6" max="8" width="13.296875" bestFit="1" customWidth="1"/>
  </cols>
  <sheetData>
    <row r="1" spans="1:9" x14ac:dyDescent="0.4">
      <c r="A1" s="16" t="s">
        <v>0</v>
      </c>
      <c r="B1" s="16"/>
    </row>
    <row r="2" spans="1:9" x14ac:dyDescent="0.4">
      <c r="A2" s="16" t="s">
        <v>4</v>
      </c>
      <c r="B2" s="16"/>
      <c r="C2">
        <v>11680000</v>
      </c>
    </row>
    <row r="3" spans="1:9" x14ac:dyDescent="0.4">
      <c r="A3" s="16" t="s">
        <v>2</v>
      </c>
      <c r="B3" s="16"/>
      <c r="C3">
        <v>1300000</v>
      </c>
      <c r="G3" t="s">
        <v>15</v>
      </c>
      <c r="H3" t="s">
        <v>60</v>
      </c>
    </row>
    <row r="4" spans="1:9" x14ac:dyDescent="0.4">
      <c r="A4" s="16" t="s">
        <v>1</v>
      </c>
      <c r="B4" s="16"/>
      <c r="C4">
        <f>SUM(C2:C3)</f>
        <v>12980000</v>
      </c>
      <c r="E4" t="s">
        <v>5</v>
      </c>
      <c r="F4" s="2">
        <v>10185000</v>
      </c>
      <c r="G4" s="2">
        <v>3800000</v>
      </c>
      <c r="H4" s="2">
        <v>6385000</v>
      </c>
      <c r="I4" t="s">
        <v>61</v>
      </c>
    </row>
    <row r="5" spans="1:9" x14ac:dyDescent="0.4">
      <c r="E5" t="s">
        <v>3</v>
      </c>
      <c r="F5" s="2">
        <v>1300000</v>
      </c>
      <c r="G5" s="2">
        <v>1300000</v>
      </c>
      <c r="H5" s="15" t="s">
        <v>59</v>
      </c>
    </row>
    <row r="6" spans="1:9" x14ac:dyDescent="0.4">
      <c r="E6" t="s">
        <v>12</v>
      </c>
      <c r="F6" s="2">
        <v>362000</v>
      </c>
      <c r="G6" s="2">
        <v>362000</v>
      </c>
      <c r="H6" s="1" t="s">
        <v>59</v>
      </c>
    </row>
    <row r="7" spans="1:9" x14ac:dyDescent="0.4">
      <c r="E7" t="s">
        <v>13</v>
      </c>
      <c r="F7" s="2">
        <v>120000</v>
      </c>
      <c r="G7" s="2">
        <v>120000</v>
      </c>
      <c r="H7" s="1" t="s">
        <v>59</v>
      </c>
    </row>
    <row r="8" spans="1:9" x14ac:dyDescent="0.4">
      <c r="E8" t="s">
        <v>58</v>
      </c>
      <c r="F8" s="2">
        <v>200000</v>
      </c>
      <c r="G8" s="2">
        <v>200000</v>
      </c>
      <c r="H8" s="1" t="s">
        <v>59</v>
      </c>
    </row>
    <row r="9" spans="1:9" x14ac:dyDescent="0.4">
      <c r="E9" t="s">
        <v>14</v>
      </c>
      <c r="F9" s="2">
        <v>120000</v>
      </c>
      <c r="G9" s="2">
        <v>120000</v>
      </c>
      <c r="H9" s="1" t="s">
        <v>59</v>
      </c>
    </row>
    <row r="10" spans="1:9" x14ac:dyDescent="0.4">
      <c r="E10" t="s">
        <v>40</v>
      </c>
      <c r="F10" s="2">
        <v>55000</v>
      </c>
      <c r="G10" s="2">
        <v>55000</v>
      </c>
      <c r="H10" s="1" t="s">
        <v>59</v>
      </c>
    </row>
    <row r="11" spans="1:9" x14ac:dyDescent="0.4">
      <c r="E11" t="s">
        <v>41</v>
      </c>
      <c r="F11" s="2">
        <v>50000</v>
      </c>
      <c r="G11" s="2">
        <v>50000</v>
      </c>
      <c r="H11" s="1" t="s">
        <v>59</v>
      </c>
    </row>
    <row r="12" spans="1:9" x14ac:dyDescent="0.4">
      <c r="E12" t="s">
        <v>25</v>
      </c>
      <c r="F12" s="2">
        <v>15000</v>
      </c>
      <c r="G12" s="2">
        <v>15000</v>
      </c>
      <c r="H12" s="1" t="s">
        <v>59</v>
      </c>
    </row>
    <row r="13" spans="1:9" x14ac:dyDescent="0.4">
      <c r="E13" t="s">
        <v>6</v>
      </c>
      <c r="F13" s="2">
        <v>965160</v>
      </c>
      <c r="G13" s="1" t="s">
        <v>59</v>
      </c>
      <c r="H13" s="2">
        <v>965160</v>
      </c>
    </row>
    <row r="14" spans="1:9" x14ac:dyDescent="0.4">
      <c r="E14" t="s">
        <v>7</v>
      </c>
      <c r="F14" s="2">
        <v>885160</v>
      </c>
      <c r="G14" s="1" t="s">
        <v>59</v>
      </c>
      <c r="H14" s="2">
        <v>885160</v>
      </c>
    </row>
    <row r="15" spans="1:9" x14ac:dyDescent="0.4">
      <c r="E15" t="s">
        <v>8</v>
      </c>
      <c r="F15" s="2">
        <v>885160</v>
      </c>
      <c r="G15" s="1" t="s">
        <v>59</v>
      </c>
      <c r="H15" s="2">
        <v>885160</v>
      </c>
    </row>
    <row r="16" spans="1:9" x14ac:dyDescent="0.4">
      <c r="E16" t="s">
        <v>9</v>
      </c>
      <c r="F16" s="2">
        <v>885160</v>
      </c>
      <c r="G16" s="1" t="s">
        <v>59</v>
      </c>
      <c r="H16" s="2">
        <v>885160</v>
      </c>
    </row>
    <row r="17" spans="5:8" x14ac:dyDescent="0.4">
      <c r="E17" t="s">
        <v>10</v>
      </c>
      <c r="F17" s="2">
        <v>885160</v>
      </c>
      <c r="G17" s="1" t="s">
        <v>59</v>
      </c>
      <c r="H17" s="2">
        <v>885160</v>
      </c>
    </row>
    <row r="18" spans="5:8" x14ac:dyDescent="0.4">
      <c r="E18" t="s">
        <v>11</v>
      </c>
      <c r="F18" s="2">
        <v>885160</v>
      </c>
      <c r="G18" s="1" t="s">
        <v>59</v>
      </c>
      <c r="H18" s="2">
        <v>885160</v>
      </c>
    </row>
    <row r="19" spans="5:8" x14ac:dyDescent="0.4">
      <c r="F19" s="3">
        <f>SUM(F4:F18)</f>
        <v>17797960</v>
      </c>
      <c r="G19" s="3">
        <f>SUM(G4:G18)+H4</f>
        <v>12407000</v>
      </c>
      <c r="H19" s="3">
        <f>SUM(H4:H18)</f>
        <v>11775960</v>
      </c>
    </row>
    <row r="22" spans="5:8" x14ac:dyDescent="0.4">
      <c r="E22" t="s">
        <v>16</v>
      </c>
      <c r="F22" s="3">
        <f>C4-G19</f>
        <v>573000</v>
      </c>
    </row>
  </sheetData>
  <mergeCells count="4">
    <mergeCell ref="A2:B2"/>
    <mergeCell ref="A3:B3"/>
    <mergeCell ref="A1:B1"/>
    <mergeCell ref="A4:B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F2E7-E9EA-4DEC-805C-1DF1AB79CF20}">
  <dimension ref="B1:O54"/>
  <sheetViews>
    <sheetView topLeftCell="A54" zoomScaleNormal="100" workbookViewId="0">
      <selection activeCell="F10" sqref="F10"/>
    </sheetView>
  </sheetViews>
  <sheetFormatPr defaultRowHeight="17.399999999999999" x14ac:dyDescent="0.4"/>
  <cols>
    <col min="3" max="3" width="26.3984375" customWidth="1"/>
    <col min="4" max="4" width="15.296875" style="3" customWidth="1"/>
    <col min="5" max="6" width="42" customWidth="1"/>
    <col min="13" max="17" width="8.796875" customWidth="1"/>
  </cols>
  <sheetData>
    <row r="1" spans="2:15" ht="18" thickBot="1" x14ac:dyDescent="0.45"/>
    <row r="2" spans="2:15" ht="18.600000000000001" thickTop="1" thickBot="1" x14ac:dyDescent="0.45">
      <c r="B2" s="17" t="s">
        <v>54</v>
      </c>
      <c r="C2" s="18"/>
      <c r="D2" s="18"/>
      <c r="E2" s="19"/>
    </row>
    <row r="3" spans="2:15" ht="18" thickBot="1" x14ac:dyDescent="0.45">
      <c r="B3" s="4"/>
      <c r="C3" s="13" t="s">
        <v>17</v>
      </c>
      <c r="D3" s="14" t="s">
        <v>18</v>
      </c>
      <c r="E3" s="12" t="s">
        <v>19</v>
      </c>
    </row>
    <row r="4" spans="2:15" ht="18.600000000000001" thickTop="1" thickBot="1" x14ac:dyDescent="0.45">
      <c r="B4" s="35" t="s">
        <v>48</v>
      </c>
      <c r="C4" s="36"/>
      <c r="D4" s="36"/>
      <c r="E4" s="37"/>
      <c r="F4" s="1"/>
      <c r="H4" s="1"/>
      <c r="I4" s="1"/>
    </row>
    <row r="5" spans="2:15" ht="18" thickTop="1" x14ac:dyDescent="0.4">
      <c r="B5" s="24"/>
      <c r="C5" s="6" t="s">
        <v>43</v>
      </c>
      <c r="D5" s="3">
        <v>5460000</v>
      </c>
      <c r="E5" s="5" t="s">
        <v>55</v>
      </c>
      <c r="H5" s="1"/>
      <c r="I5" s="1"/>
    </row>
    <row r="6" spans="2:15" x14ac:dyDescent="0.4">
      <c r="B6" s="24"/>
      <c r="C6" s="7" t="s">
        <v>44</v>
      </c>
      <c r="D6" s="3">
        <v>4725000</v>
      </c>
      <c r="E6" s="5" t="s">
        <v>56</v>
      </c>
      <c r="H6" s="1"/>
      <c r="I6" s="1"/>
    </row>
    <row r="7" spans="2:15" x14ac:dyDescent="0.4">
      <c r="B7" s="24"/>
      <c r="C7" s="7" t="s">
        <v>20</v>
      </c>
      <c r="D7" s="3">
        <v>1300000</v>
      </c>
      <c r="E7" s="5" t="s">
        <v>26</v>
      </c>
    </row>
    <row r="8" spans="2:15" x14ac:dyDescent="0.4">
      <c r="B8" s="24"/>
      <c r="C8" s="7" t="s">
        <v>34</v>
      </c>
      <c r="D8" s="3">
        <v>362000</v>
      </c>
      <c r="E8" s="5" t="s">
        <v>35</v>
      </c>
    </row>
    <row r="9" spans="2:15" x14ac:dyDescent="0.4">
      <c r="B9" s="24"/>
      <c r="C9" s="7" t="s">
        <v>36</v>
      </c>
      <c r="D9" s="3">
        <v>120000</v>
      </c>
      <c r="E9" s="5" t="s">
        <v>37</v>
      </c>
    </row>
    <row r="10" spans="2:15" x14ac:dyDescent="0.4">
      <c r="B10" s="24"/>
      <c r="C10" s="7" t="s">
        <v>13</v>
      </c>
      <c r="D10" s="3">
        <v>120000</v>
      </c>
      <c r="E10" s="5"/>
    </row>
    <row r="11" spans="2:15" x14ac:dyDescent="0.4">
      <c r="B11" s="24"/>
      <c r="C11" s="7" t="s">
        <v>31</v>
      </c>
      <c r="D11" s="3">
        <v>200000</v>
      </c>
      <c r="E11" s="5" t="s">
        <v>32</v>
      </c>
    </row>
    <row r="12" spans="2:15" x14ac:dyDescent="0.4">
      <c r="B12" s="24"/>
      <c r="C12" s="7" t="s">
        <v>40</v>
      </c>
      <c r="D12" s="3">
        <v>55000</v>
      </c>
      <c r="E12" s="5" t="s">
        <v>57</v>
      </c>
      <c r="M12" s="2"/>
      <c r="N12" s="2"/>
      <c r="O12" s="2"/>
    </row>
    <row r="13" spans="2:15" x14ac:dyDescent="0.4">
      <c r="B13" s="24"/>
      <c r="C13" s="7" t="s">
        <v>41</v>
      </c>
      <c r="D13" s="3">
        <v>50000</v>
      </c>
      <c r="E13" s="5" t="s">
        <v>42</v>
      </c>
      <c r="M13" s="2"/>
      <c r="N13" s="2"/>
      <c r="O13" s="2"/>
    </row>
    <row r="14" spans="2:15" ht="18" thickBot="1" x14ac:dyDescent="0.45">
      <c r="B14" s="24"/>
      <c r="C14" s="7" t="s">
        <v>25</v>
      </c>
      <c r="D14" s="3">
        <v>15000</v>
      </c>
      <c r="E14" s="5" t="s">
        <v>53</v>
      </c>
      <c r="M14" s="2"/>
      <c r="O14" s="2"/>
    </row>
    <row r="15" spans="2:15" ht="18" thickBot="1" x14ac:dyDescent="0.45">
      <c r="B15" s="24"/>
      <c r="C15" s="11" t="s">
        <v>24</v>
      </c>
      <c r="D15" s="20">
        <f>SUM(D5:D14)</f>
        <v>12407000</v>
      </c>
      <c r="E15" s="21"/>
      <c r="M15" s="2"/>
      <c r="O15" s="2"/>
    </row>
    <row r="16" spans="2:15" ht="18.600000000000001" thickTop="1" thickBot="1" x14ac:dyDescent="0.45">
      <c r="B16" s="30" t="s">
        <v>45</v>
      </c>
      <c r="C16" s="31"/>
      <c r="D16" s="31"/>
      <c r="E16" s="32"/>
      <c r="F16" s="1"/>
      <c r="M16" s="2"/>
      <c r="O16" s="2"/>
    </row>
    <row r="17" spans="2:15" ht="18" thickTop="1" x14ac:dyDescent="0.4">
      <c r="B17" s="25"/>
      <c r="C17" s="10" t="s">
        <v>33</v>
      </c>
      <c r="D17" s="3">
        <v>80000</v>
      </c>
      <c r="E17" s="5" t="s">
        <v>39</v>
      </c>
      <c r="M17" s="2"/>
      <c r="O17" s="2"/>
    </row>
    <row r="18" spans="2:15" x14ac:dyDescent="0.4">
      <c r="B18" s="26"/>
      <c r="C18" s="7" t="s">
        <v>21</v>
      </c>
      <c r="D18" s="3">
        <v>500000</v>
      </c>
      <c r="E18" s="5" t="s">
        <v>38</v>
      </c>
      <c r="M18" s="2"/>
      <c r="O18" s="2"/>
    </row>
    <row r="19" spans="2:15" x14ac:dyDescent="0.4">
      <c r="B19" s="26"/>
      <c r="C19" s="7" t="s">
        <v>27</v>
      </c>
      <c r="D19" s="3">
        <v>12160</v>
      </c>
      <c r="E19" s="5" t="s">
        <v>28</v>
      </c>
      <c r="M19" s="2"/>
      <c r="O19" s="2"/>
    </row>
    <row r="20" spans="2:15" x14ac:dyDescent="0.4">
      <c r="B20" s="26"/>
      <c r="C20" s="7" t="s">
        <v>22</v>
      </c>
      <c r="D20" s="3">
        <v>40000</v>
      </c>
      <c r="E20" s="5" t="s">
        <v>30</v>
      </c>
      <c r="M20" s="2"/>
      <c r="O20" s="2"/>
    </row>
    <row r="21" spans="2:15" ht="18" thickBot="1" x14ac:dyDescent="0.45">
      <c r="B21" s="26"/>
      <c r="C21" s="7" t="s">
        <v>23</v>
      </c>
      <c r="D21" s="3">
        <v>333000</v>
      </c>
      <c r="E21" s="5" t="s">
        <v>29</v>
      </c>
      <c r="M21" s="2"/>
      <c r="N21" s="2"/>
    </row>
    <row r="22" spans="2:15" ht="18" thickBot="1" x14ac:dyDescent="0.45">
      <c r="B22" s="27"/>
      <c r="C22" s="11" t="s">
        <v>24</v>
      </c>
      <c r="D22" s="20">
        <f>SUM(D17:D21)</f>
        <v>965160</v>
      </c>
      <c r="E22" s="21"/>
      <c r="M22" s="2"/>
      <c r="N22" s="2"/>
    </row>
    <row r="23" spans="2:15" ht="18.600000000000001" thickTop="1" thickBot="1" x14ac:dyDescent="0.45">
      <c r="B23" s="33" t="s">
        <v>46</v>
      </c>
      <c r="C23" s="31"/>
      <c r="D23" s="31"/>
      <c r="E23" s="32"/>
      <c r="F23" s="1"/>
      <c r="M23" s="2"/>
      <c r="N23" s="2"/>
    </row>
    <row r="24" spans="2:15" ht="18" thickTop="1" x14ac:dyDescent="0.4">
      <c r="B24" s="25"/>
      <c r="C24" s="6" t="s">
        <v>21</v>
      </c>
      <c r="D24" s="3">
        <v>500000</v>
      </c>
      <c r="E24" s="5" t="s">
        <v>38</v>
      </c>
      <c r="M24" s="2"/>
      <c r="N24" s="2"/>
    </row>
    <row r="25" spans="2:15" x14ac:dyDescent="0.4">
      <c r="B25" s="26"/>
      <c r="C25" s="7" t="s">
        <v>27</v>
      </c>
      <c r="D25" s="3">
        <v>12160</v>
      </c>
      <c r="E25" s="5" t="s">
        <v>28</v>
      </c>
      <c r="M25" s="2"/>
      <c r="N25" s="2"/>
    </row>
    <row r="26" spans="2:15" x14ac:dyDescent="0.4">
      <c r="B26" s="26"/>
      <c r="C26" s="7" t="s">
        <v>22</v>
      </c>
      <c r="D26" s="3">
        <v>40000</v>
      </c>
      <c r="E26" s="5" t="s">
        <v>30</v>
      </c>
      <c r="M26" s="3"/>
      <c r="N26" s="3"/>
      <c r="O26" s="3"/>
    </row>
    <row r="27" spans="2:15" ht="18" thickBot="1" x14ac:dyDescent="0.45">
      <c r="B27" s="26"/>
      <c r="C27" s="7" t="s">
        <v>23</v>
      </c>
      <c r="D27" s="3">
        <v>333000</v>
      </c>
      <c r="E27" s="5" t="s">
        <v>29</v>
      </c>
    </row>
    <row r="28" spans="2:15" ht="18" thickBot="1" x14ac:dyDescent="0.45">
      <c r="B28" s="27"/>
      <c r="C28" s="11" t="s">
        <v>24</v>
      </c>
      <c r="D28" s="20">
        <f>SUM(D24:D27)</f>
        <v>885160</v>
      </c>
      <c r="E28" s="21"/>
    </row>
    <row r="29" spans="2:15" ht="18.600000000000001" thickTop="1" thickBot="1" x14ac:dyDescent="0.45">
      <c r="B29" s="34" t="s">
        <v>47</v>
      </c>
      <c r="C29" s="31"/>
      <c r="D29" s="31"/>
      <c r="E29" s="32"/>
      <c r="F29" s="1"/>
    </row>
    <row r="30" spans="2:15" ht="18" thickTop="1" x14ac:dyDescent="0.4">
      <c r="B30" s="25"/>
      <c r="C30" s="6" t="s">
        <v>21</v>
      </c>
      <c r="D30" s="3">
        <v>500000</v>
      </c>
      <c r="E30" s="5" t="s">
        <v>38</v>
      </c>
    </row>
    <row r="31" spans="2:15" x14ac:dyDescent="0.4">
      <c r="B31" s="26"/>
      <c r="C31" s="7" t="s">
        <v>27</v>
      </c>
      <c r="D31" s="3">
        <v>12160</v>
      </c>
      <c r="E31" s="5" t="s">
        <v>28</v>
      </c>
    </row>
    <row r="32" spans="2:15" x14ac:dyDescent="0.4">
      <c r="B32" s="26"/>
      <c r="C32" s="7" t="s">
        <v>22</v>
      </c>
      <c r="D32" s="3">
        <v>40000</v>
      </c>
      <c r="E32" s="5" t="s">
        <v>30</v>
      </c>
    </row>
    <row r="33" spans="2:13" ht="18" thickBot="1" x14ac:dyDescent="0.45">
      <c r="B33" s="26"/>
      <c r="C33" s="7" t="s">
        <v>23</v>
      </c>
      <c r="D33" s="3">
        <v>333000</v>
      </c>
      <c r="E33" s="5" t="s">
        <v>29</v>
      </c>
      <c r="M33" s="3"/>
    </row>
    <row r="34" spans="2:13" ht="18" thickBot="1" x14ac:dyDescent="0.45">
      <c r="B34" s="27"/>
      <c r="C34" s="11" t="s">
        <v>24</v>
      </c>
      <c r="D34" s="20">
        <f>SUM(D30:D33)</f>
        <v>885160</v>
      </c>
      <c r="E34" s="21"/>
    </row>
    <row r="35" spans="2:13" ht="18.600000000000001" thickTop="1" thickBot="1" x14ac:dyDescent="0.45">
      <c r="B35" s="30" t="s">
        <v>49</v>
      </c>
      <c r="C35" s="31"/>
      <c r="D35" s="31"/>
      <c r="E35" s="32"/>
      <c r="F35" s="1"/>
    </row>
    <row r="36" spans="2:13" ht="18" thickTop="1" x14ac:dyDescent="0.4">
      <c r="B36" s="25"/>
      <c r="C36" s="6" t="s">
        <v>21</v>
      </c>
      <c r="D36" s="3">
        <v>500000</v>
      </c>
      <c r="E36" s="5" t="s">
        <v>38</v>
      </c>
    </row>
    <row r="37" spans="2:13" x14ac:dyDescent="0.4">
      <c r="B37" s="26"/>
      <c r="C37" s="7" t="s">
        <v>27</v>
      </c>
      <c r="D37" s="3">
        <v>12160</v>
      </c>
      <c r="E37" s="5" t="s">
        <v>28</v>
      </c>
    </row>
    <row r="38" spans="2:13" x14ac:dyDescent="0.4">
      <c r="B38" s="26"/>
      <c r="C38" s="7" t="s">
        <v>22</v>
      </c>
      <c r="D38" s="3">
        <v>40000</v>
      </c>
      <c r="E38" s="5" t="s">
        <v>30</v>
      </c>
    </row>
    <row r="39" spans="2:13" ht="18" thickBot="1" x14ac:dyDescent="0.45">
      <c r="B39" s="26"/>
      <c r="C39" s="7" t="s">
        <v>23</v>
      </c>
      <c r="D39" s="3">
        <v>333000</v>
      </c>
      <c r="E39" s="5" t="s">
        <v>29</v>
      </c>
    </row>
    <row r="40" spans="2:13" ht="18" thickBot="1" x14ac:dyDescent="0.45">
      <c r="B40" s="27"/>
      <c r="C40" s="11" t="s">
        <v>24</v>
      </c>
      <c r="D40" s="20">
        <f>SUM(D36:D39)</f>
        <v>885160</v>
      </c>
      <c r="E40" s="21"/>
    </row>
    <row r="41" spans="2:13" ht="18.600000000000001" thickTop="1" thickBot="1" x14ac:dyDescent="0.45">
      <c r="B41" s="30" t="s">
        <v>50</v>
      </c>
      <c r="C41" s="31"/>
      <c r="D41" s="31"/>
      <c r="E41" s="32"/>
      <c r="F41" s="1"/>
    </row>
    <row r="42" spans="2:13" ht="18" thickTop="1" x14ac:dyDescent="0.4">
      <c r="B42" s="25"/>
      <c r="C42" s="8" t="s">
        <v>21</v>
      </c>
      <c r="D42" s="3">
        <v>500000</v>
      </c>
      <c r="E42" s="5" t="s">
        <v>38</v>
      </c>
    </row>
    <row r="43" spans="2:13" x14ac:dyDescent="0.4">
      <c r="B43" s="26"/>
      <c r="C43" s="9" t="s">
        <v>27</v>
      </c>
      <c r="D43" s="3">
        <v>12160</v>
      </c>
      <c r="E43" s="5" t="s">
        <v>28</v>
      </c>
    </row>
    <row r="44" spans="2:13" x14ac:dyDescent="0.4">
      <c r="B44" s="26"/>
      <c r="C44" s="9" t="s">
        <v>22</v>
      </c>
      <c r="D44" s="3">
        <v>40000</v>
      </c>
      <c r="E44" s="5" t="s">
        <v>30</v>
      </c>
    </row>
    <row r="45" spans="2:13" ht="18" thickBot="1" x14ac:dyDescent="0.45">
      <c r="B45" s="26"/>
      <c r="C45" s="9" t="s">
        <v>23</v>
      </c>
      <c r="D45" s="3">
        <v>333000</v>
      </c>
      <c r="E45" s="5" t="s">
        <v>29</v>
      </c>
    </row>
    <row r="46" spans="2:13" ht="18" thickBot="1" x14ac:dyDescent="0.45">
      <c r="B46" s="27"/>
      <c r="C46" s="11" t="s">
        <v>24</v>
      </c>
      <c r="D46" s="20">
        <f>SUM(D42:D45)</f>
        <v>885160</v>
      </c>
      <c r="E46" s="21"/>
    </row>
    <row r="47" spans="2:13" ht="18.600000000000001" thickTop="1" thickBot="1" x14ac:dyDescent="0.45">
      <c r="B47" s="30" t="s">
        <v>51</v>
      </c>
      <c r="C47" s="31"/>
      <c r="D47" s="31"/>
      <c r="E47" s="32"/>
      <c r="F47" s="1"/>
    </row>
    <row r="48" spans="2:13" ht="18" thickTop="1" x14ac:dyDescent="0.4">
      <c r="B48" s="25"/>
      <c r="C48" s="8" t="s">
        <v>21</v>
      </c>
      <c r="D48" s="3">
        <v>500000</v>
      </c>
      <c r="E48" s="5" t="s">
        <v>38</v>
      </c>
    </row>
    <row r="49" spans="2:5" x14ac:dyDescent="0.4">
      <c r="B49" s="26"/>
      <c r="C49" s="9" t="s">
        <v>27</v>
      </c>
      <c r="D49" s="3">
        <v>12160</v>
      </c>
      <c r="E49" s="5" t="s">
        <v>28</v>
      </c>
    </row>
    <row r="50" spans="2:5" x14ac:dyDescent="0.4">
      <c r="B50" s="26"/>
      <c r="C50" s="9" t="s">
        <v>22</v>
      </c>
      <c r="D50" s="3">
        <v>40000</v>
      </c>
      <c r="E50" s="5" t="s">
        <v>30</v>
      </c>
    </row>
    <row r="51" spans="2:5" ht="18" thickBot="1" x14ac:dyDescent="0.45">
      <c r="B51" s="26"/>
      <c r="C51" s="9" t="s">
        <v>23</v>
      </c>
      <c r="D51" s="3">
        <v>333000</v>
      </c>
      <c r="E51" s="5" t="s">
        <v>29</v>
      </c>
    </row>
    <row r="52" spans="2:5" ht="18" thickBot="1" x14ac:dyDescent="0.45">
      <c r="B52" s="27"/>
      <c r="C52" s="11" t="s">
        <v>24</v>
      </c>
      <c r="D52" s="20">
        <f>SUM(D48:D51)</f>
        <v>885160</v>
      </c>
      <c r="E52" s="21"/>
    </row>
    <row r="53" spans="2:5" ht="18.600000000000001" thickTop="1" thickBot="1" x14ac:dyDescent="0.45">
      <c r="B53" s="28" t="s">
        <v>52</v>
      </c>
      <c r="C53" s="29"/>
      <c r="D53" s="22">
        <f>D15+D22+D28+D34+D40+D46+D52</f>
        <v>17797960</v>
      </c>
      <c r="E53" s="23"/>
    </row>
    <row r="54" spans="2:5" ht="18" thickTop="1" x14ac:dyDescent="0.4"/>
  </sheetData>
  <dataConsolidate/>
  <mergeCells count="24">
    <mergeCell ref="B41:E41"/>
    <mergeCell ref="B47:E47"/>
    <mergeCell ref="D15:E15"/>
    <mergeCell ref="B16:E16"/>
    <mergeCell ref="B23:E23"/>
    <mergeCell ref="B29:E29"/>
    <mergeCell ref="B4:E4"/>
    <mergeCell ref="B35:E35"/>
    <mergeCell ref="B2:E2"/>
    <mergeCell ref="D52:E52"/>
    <mergeCell ref="D53:E53"/>
    <mergeCell ref="B5:B15"/>
    <mergeCell ref="B17:B22"/>
    <mergeCell ref="B24:B28"/>
    <mergeCell ref="B30:B34"/>
    <mergeCell ref="B36:B40"/>
    <mergeCell ref="B42:B46"/>
    <mergeCell ref="B48:B52"/>
    <mergeCell ref="D22:E22"/>
    <mergeCell ref="D28:E28"/>
    <mergeCell ref="D34:E34"/>
    <mergeCell ref="D40:E40"/>
    <mergeCell ref="D46:E46"/>
    <mergeCell ref="B53:C53"/>
  </mergeCells>
  <phoneticPr fontId="2" type="noConversion"/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예산안</vt:lpstr>
      <vt:lpstr>세부예산안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영훈 김</dc:creator>
  <cp:lastModifiedBy>영훈 김</cp:lastModifiedBy>
  <dcterms:created xsi:type="dcterms:W3CDTF">2025-12-30T10:44:03Z</dcterms:created>
  <dcterms:modified xsi:type="dcterms:W3CDTF">2026-10-04T15:09:48Z</dcterms:modified>
</cp:coreProperties>
</file>